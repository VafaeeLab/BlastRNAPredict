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hu/work/Omid/BlastRNAPredict/data/"/>
    </mc:Choice>
  </mc:AlternateContent>
  <xr:revisionPtr revIDLastSave="0" documentId="13_ncr:1_{811AB3B2-E5CD-224C-9E80-7B9C8A462255}" xr6:coauthVersionLast="47" xr6:coauthVersionMax="47" xr10:uidLastSave="{00000000-0000-0000-0000-000000000000}"/>
  <bookViews>
    <workbookView xWindow="1660" yWindow="640" windowWidth="34560" windowHeight="19800" activeTab="8" xr2:uid="{5B57108F-296B-6D47-819C-3AE5C93D2B63}"/>
  </bookViews>
  <sheets>
    <sheet name="All BF metadata_incl D4 " sheetId="6" r:id="rId1"/>
    <sheet name="Information " sheetId="5" r:id="rId2"/>
    <sheet name="1" sheetId="2" r:id="rId3"/>
    <sheet name="2" sheetId="15" r:id="rId4"/>
    <sheet name="3" sheetId="23" r:id="rId5"/>
    <sheet name="4" sheetId="9" r:id="rId6"/>
    <sheet name="5" sheetId="10" r:id="rId7"/>
    <sheet name="6" sheetId="11" r:id="rId8"/>
    <sheet name="Clinical variables to check" sheetId="24" r:id="rId9"/>
    <sheet name=" " sheetId="25" r:id="rId10"/>
  </sheets>
  <definedNames>
    <definedName name="_xlnm._FilterDatabase" localSheetId="5" hidden="1">'4'!#REF!</definedName>
    <definedName name="_xlnm._FilterDatabase" localSheetId="0" hidden="1">'All BF metadata_incl D4 '!$A$1:$H$76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9" i="6"/>
  <c r="F10" i="6"/>
  <c r="F6" i="6"/>
  <c r="F7" i="6"/>
  <c r="F8" i="6"/>
  <c r="F3" i="6"/>
  <c r="F4" i="6"/>
  <c r="F5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2" i="6"/>
</calcChain>
</file>

<file path=xl/sharedStrings.xml><?xml version="1.0" encoding="utf-8"?>
<sst xmlns="http://schemas.openxmlformats.org/spreadsheetml/2006/main" count="354" uniqueCount="97">
  <si>
    <t>Age</t>
  </si>
  <si>
    <t>Emb_stage</t>
  </si>
  <si>
    <t>hCG_Result</t>
  </si>
  <si>
    <t>outcome_preg</t>
  </si>
  <si>
    <t>NA</t>
  </si>
  <si>
    <t>4BA</t>
  </si>
  <si>
    <t>Positive</t>
  </si>
  <si>
    <t>Live_birth</t>
  </si>
  <si>
    <t>4AA</t>
  </si>
  <si>
    <t>4AB</t>
  </si>
  <si>
    <t>3AA</t>
  </si>
  <si>
    <t>Negative</t>
  </si>
  <si>
    <t>NPO</t>
  </si>
  <si>
    <t>3BB</t>
  </si>
  <si>
    <t>4BB</t>
  </si>
  <si>
    <t>3AB</t>
  </si>
  <si>
    <t>5AB</t>
  </si>
  <si>
    <t>N</t>
  </si>
  <si>
    <t>sample_id</t>
  </si>
  <si>
    <t>BF_1</t>
  </si>
  <si>
    <t>BF_2</t>
  </si>
  <si>
    <t>BF_3</t>
  </si>
  <si>
    <t>BF_4</t>
  </si>
  <si>
    <t>BF_5</t>
  </si>
  <si>
    <t>BF_6</t>
  </si>
  <si>
    <t>BF_7</t>
  </si>
  <si>
    <t>BF_8</t>
  </si>
  <si>
    <t>BF_9</t>
  </si>
  <si>
    <t>BF_10</t>
  </si>
  <si>
    <t>BF_11</t>
  </si>
  <si>
    <t>BF_12</t>
  </si>
  <si>
    <t>BF_13</t>
  </si>
  <si>
    <t>BF_14</t>
  </si>
  <si>
    <t>BF_15</t>
  </si>
  <si>
    <t>BF_16</t>
  </si>
  <si>
    <t>BF_17</t>
  </si>
  <si>
    <t>BF_18</t>
  </si>
  <si>
    <t>BF_19</t>
  </si>
  <si>
    <t>BF_20</t>
  </si>
  <si>
    <t>BF_21</t>
  </si>
  <si>
    <t>BF_22</t>
  </si>
  <si>
    <t>BF_23</t>
  </si>
  <si>
    <t>BF_24</t>
  </si>
  <si>
    <t>BF_25</t>
  </si>
  <si>
    <t>BF_26</t>
  </si>
  <si>
    <t>BF_27</t>
  </si>
  <si>
    <t>BF_28</t>
  </si>
  <si>
    <t>BF_29</t>
  </si>
  <si>
    <t>BF_30</t>
  </si>
  <si>
    <t>BF_32</t>
  </si>
  <si>
    <t>BF_33</t>
  </si>
  <si>
    <t>BF_34</t>
  </si>
  <si>
    <t>BF_36</t>
  </si>
  <si>
    <t>BF_37</t>
  </si>
  <si>
    <t>BF_38</t>
  </si>
  <si>
    <t>BF_39</t>
  </si>
  <si>
    <t>BF_40</t>
  </si>
  <si>
    <t>BF_41</t>
  </si>
  <si>
    <t>BF_42</t>
  </si>
  <si>
    <t>BF_73</t>
  </si>
  <si>
    <t>BF_74</t>
  </si>
  <si>
    <t>BF_75</t>
  </si>
  <si>
    <t>BF_43</t>
  </si>
  <si>
    <t>BF_44</t>
  </si>
  <si>
    <t>BF_45</t>
  </si>
  <si>
    <t>BF_46</t>
  </si>
  <si>
    <t>BF_47</t>
  </si>
  <si>
    <t>BF_48</t>
  </si>
  <si>
    <t>BF_49</t>
  </si>
  <si>
    <t>BF_50</t>
  </si>
  <si>
    <t>BF_51</t>
  </si>
  <si>
    <t>BF_52</t>
  </si>
  <si>
    <t>BF_53</t>
  </si>
  <si>
    <t>BF_54</t>
  </si>
  <si>
    <t>BF_55</t>
  </si>
  <si>
    <t>BF_57</t>
  </si>
  <si>
    <t>BF_58</t>
  </si>
  <si>
    <t>BF_59</t>
  </si>
  <si>
    <t>BF_60</t>
  </si>
  <si>
    <t>BF_61</t>
  </si>
  <si>
    <t>BF_62</t>
  </si>
  <si>
    <t>BF_63</t>
  </si>
  <si>
    <t>BF_64</t>
  </si>
  <si>
    <t>BF_65</t>
  </si>
  <si>
    <t>BF_66</t>
  </si>
  <si>
    <t>BF_67</t>
  </si>
  <si>
    <t>BF_68</t>
  </si>
  <si>
    <t>BF_69</t>
  </si>
  <si>
    <t>BF_70</t>
  </si>
  <si>
    <t>BF_71</t>
  </si>
  <si>
    <t>BF_72</t>
  </si>
  <si>
    <t>BF_31</t>
  </si>
  <si>
    <t>BF_35</t>
  </si>
  <si>
    <t>BF_56</t>
  </si>
  <si>
    <t>G1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</si>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</sst>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CF91-343C-4347-BB51-B82EFEF3C31D}">
  <dimension ref="A1:H76"/>
  <sheetViews>
    <sheetView topLeftCell="A44" zoomScale="75" workbookViewId="0">
      <selection activeCell="L81" sqref="L81"/>
    </sheetView>
  </sheetViews>
  <sheetFormatPr baseColWidth="10" defaultColWidth="11" defaultRowHeight="16" x14ac:dyDescent="0.2"/>
  <cols>
    <col min="1" max="1" width="18.33203125" style="2" customWidth="1"/>
    <col min="2" max="16384" width="11" style="2"/>
  </cols>
  <sheetData>
    <row r="1" spans="1:8" s="7" customFormat="1" x14ac:dyDescent="0.2">
      <c r="A1" s="7" t="s">
        <v>18</v>
      </c>
      <c r="B1" s="7" t="s">
        <v>0</v>
      </c>
      <c r="C1" s="7" t="s">
        <v>1</v>
      </c>
      <c r="D1" s="7" t="s">
        <v>94</v>
      </c>
      <c r="E1" s="7" t="s">
        <v>95</v>
      </c>
      <c r="F1" s="7" t="s">
        <v>96</v>
      </c>
      <c r="G1" s="7" t="s">
        <v>2</v>
      </c>
      <c r="H1" s="7" t="s">
        <v>3</v>
      </c>
    </row>
    <row r="2" spans="1:8" x14ac:dyDescent="0.2">
      <c r="A2" s="2" t="s">
        <v>36</v>
      </c>
      <c r="B2" s="2">
        <v>28</v>
      </c>
      <c r="C2" s="2" t="s">
        <v>13</v>
      </c>
      <c r="D2" s="2" t="str">
        <f>LEFT(C2,1)</f>
        <v>3</v>
      </c>
      <c r="E2" s="2" t="str">
        <f>MID(C2,2,1)</f>
        <v>B</v>
      </c>
      <c r="F2" s="2" t="str">
        <f>MID(C2,3,1)</f>
        <v>B</v>
      </c>
      <c r="G2" s="2" t="s">
        <v>11</v>
      </c>
      <c r="H2" s="2" t="s">
        <v>12</v>
      </c>
    </row>
    <row r="3" spans="1:8" x14ac:dyDescent="0.2">
      <c r="A3" s="2" t="s">
        <v>76</v>
      </c>
      <c r="B3" s="2">
        <v>33</v>
      </c>
      <c r="C3" s="2" t="s">
        <v>14</v>
      </c>
      <c r="D3" s="2" t="str">
        <f t="shared" ref="D3:D66" si="0">LEFT(C3,1)</f>
        <v>4</v>
      </c>
      <c r="E3" s="2" t="str">
        <f t="shared" ref="E3:E66" si="1">MID(C3,2,1)</f>
        <v>B</v>
      </c>
      <c r="F3" s="2" t="str">
        <f t="shared" ref="F3:F66" si="2">MID(C3,3,1)</f>
        <v>B</v>
      </c>
      <c r="G3" s="2" t="s">
        <v>6</v>
      </c>
      <c r="H3" s="2" t="s">
        <v>7</v>
      </c>
    </row>
    <row r="4" spans="1:8" x14ac:dyDescent="0.2">
      <c r="A4" s="2" t="s">
        <v>27</v>
      </c>
      <c r="B4" s="2">
        <v>36</v>
      </c>
      <c r="C4" s="2" t="s">
        <v>5</v>
      </c>
      <c r="D4" s="2" t="str">
        <f t="shared" si="0"/>
        <v>4</v>
      </c>
      <c r="E4" s="2" t="str">
        <f t="shared" si="1"/>
        <v>B</v>
      </c>
      <c r="F4" s="2" t="str">
        <f t="shared" si="2"/>
        <v>A</v>
      </c>
      <c r="G4" s="2" t="s">
        <v>6</v>
      </c>
      <c r="H4" s="2" t="s">
        <v>7</v>
      </c>
    </row>
    <row r="5" spans="1:8" x14ac:dyDescent="0.2">
      <c r="A5" s="2" t="s">
        <v>81</v>
      </c>
      <c r="B5" s="2">
        <v>22</v>
      </c>
      <c r="C5" s="2" t="s">
        <v>13</v>
      </c>
      <c r="D5" s="2" t="str">
        <f t="shared" si="0"/>
        <v>3</v>
      </c>
      <c r="E5" s="2" t="str">
        <f t="shared" si="1"/>
        <v>B</v>
      </c>
      <c r="F5" s="2" t="str">
        <f t="shared" si="2"/>
        <v>B</v>
      </c>
      <c r="G5" s="2" t="s">
        <v>6</v>
      </c>
      <c r="H5" s="2" t="s">
        <v>7</v>
      </c>
    </row>
    <row r="6" spans="1:8" x14ac:dyDescent="0.2">
      <c r="A6" s="2" t="s">
        <v>82</v>
      </c>
      <c r="B6" s="2">
        <v>22</v>
      </c>
      <c r="C6" s="2" t="s">
        <v>13</v>
      </c>
      <c r="D6" s="2" t="str">
        <f t="shared" si="0"/>
        <v>3</v>
      </c>
      <c r="E6" s="2" t="str">
        <f t="shared" si="1"/>
        <v>B</v>
      </c>
      <c r="F6" s="2" t="str">
        <f>MID(C6,3,1)</f>
        <v>B</v>
      </c>
      <c r="G6" s="2" t="s">
        <v>11</v>
      </c>
      <c r="H6" s="2" t="s">
        <v>12</v>
      </c>
    </row>
    <row r="7" spans="1:8" x14ac:dyDescent="0.2">
      <c r="A7" s="2" t="s">
        <v>83</v>
      </c>
      <c r="B7" s="2">
        <v>28</v>
      </c>
      <c r="C7" s="2" t="s">
        <v>10</v>
      </c>
      <c r="D7" s="2" t="str">
        <f t="shared" si="0"/>
        <v>3</v>
      </c>
      <c r="E7" s="2" t="str">
        <f t="shared" si="1"/>
        <v>A</v>
      </c>
      <c r="F7" s="2" t="str">
        <f t="shared" si="2"/>
        <v>A</v>
      </c>
      <c r="G7" s="2" t="s">
        <v>11</v>
      </c>
      <c r="H7" s="2" t="s">
        <v>12</v>
      </c>
    </row>
    <row r="8" spans="1:8" x14ac:dyDescent="0.2">
      <c r="A8" s="2" t="s">
        <v>84</v>
      </c>
      <c r="B8" s="2">
        <v>30</v>
      </c>
      <c r="C8" s="2" t="s">
        <v>10</v>
      </c>
      <c r="D8" s="2" t="str">
        <f t="shared" si="0"/>
        <v>3</v>
      </c>
      <c r="E8" s="2" t="str">
        <f t="shared" si="1"/>
        <v>A</v>
      </c>
      <c r="F8" s="2" t="str">
        <f t="shared" si="2"/>
        <v>A</v>
      </c>
      <c r="G8" s="2" t="s">
        <v>6</v>
      </c>
      <c r="H8" s="2" t="s">
        <v>12</v>
      </c>
    </row>
    <row r="9" spans="1:8" x14ac:dyDescent="0.2">
      <c r="A9" s="2" t="s">
        <v>85</v>
      </c>
      <c r="B9" s="2">
        <v>37</v>
      </c>
      <c r="C9" s="2" t="s">
        <v>14</v>
      </c>
      <c r="D9" s="2" t="str">
        <f t="shared" si="0"/>
        <v>4</v>
      </c>
      <c r="E9" s="2" t="str">
        <f t="shared" si="1"/>
        <v>B</v>
      </c>
      <c r="F9" s="2" t="str">
        <f>MID(C9,3,1)</f>
        <v>B</v>
      </c>
      <c r="G9" s="2" t="s">
        <v>11</v>
      </c>
      <c r="H9" s="2" t="s">
        <v>12</v>
      </c>
    </row>
    <row r="10" spans="1:8" x14ac:dyDescent="0.2">
      <c r="A10" s="2" t="s">
        <v>86</v>
      </c>
      <c r="B10" s="2">
        <v>37</v>
      </c>
      <c r="C10" s="2" t="s">
        <v>15</v>
      </c>
      <c r="D10" s="2" t="str">
        <f t="shared" si="0"/>
        <v>3</v>
      </c>
      <c r="E10" s="2" t="str">
        <f t="shared" si="1"/>
        <v>A</v>
      </c>
      <c r="F10" s="2" t="str">
        <f t="shared" si="2"/>
        <v>B</v>
      </c>
      <c r="G10" s="2" t="s">
        <v>11</v>
      </c>
      <c r="H10" s="2" t="s">
        <v>12</v>
      </c>
    </row>
    <row r="11" spans="1:8" x14ac:dyDescent="0.2">
      <c r="A11" s="2" t="s">
        <v>87</v>
      </c>
      <c r="B11" s="2">
        <v>37</v>
      </c>
      <c r="C11" s="2" t="s">
        <v>14</v>
      </c>
      <c r="D11" s="2" t="str">
        <f t="shared" si="0"/>
        <v>4</v>
      </c>
      <c r="E11" s="2" t="str">
        <f t="shared" si="1"/>
        <v>B</v>
      </c>
      <c r="F11" s="2" t="str">
        <f t="shared" si="2"/>
        <v>B</v>
      </c>
      <c r="G11" s="2" t="s">
        <v>11</v>
      </c>
      <c r="H11" s="2" t="s">
        <v>12</v>
      </c>
    </row>
    <row r="12" spans="1:8" x14ac:dyDescent="0.2">
      <c r="A12" s="2" t="s">
        <v>88</v>
      </c>
      <c r="B12" s="2">
        <v>37</v>
      </c>
      <c r="C12" s="2" t="s">
        <v>14</v>
      </c>
      <c r="D12" s="2" t="str">
        <f t="shared" si="0"/>
        <v>4</v>
      </c>
      <c r="E12" s="2" t="str">
        <f t="shared" si="1"/>
        <v>B</v>
      </c>
      <c r="F12" s="2" t="str">
        <f t="shared" si="2"/>
        <v>B</v>
      </c>
      <c r="G12" s="2" t="s">
        <v>11</v>
      </c>
      <c r="H12" s="2" t="s">
        <v>12</v>
      </c>
    </row>
    <row r="13" spans="1:8" x14ac:dyDescent="0.2">
      <c r="A13" s="2" t="s">
        <v>89</v>
      </c>
      <c r="B13" s="2">
        <v>26</v>
      </c>
      <c r="C13" s="2" t="s">
        <v>8</v>
      </c>
      <c r="D13" s="2" t="str">
        <f t="shared" si="0"/>
        <v>4</v>
      </c>
      <c r="E13" s="2" t="str">
        <f t="shared" si="1"/>
        <v>A</v>
      </c>
      <c r="F13" s="2" t="str">
        <f t="shared" si="2"/>
        <v>A</v>
      </c>
      <c r="G13" s="2" t="s">
        <v>6</v>
      </c>
      <c r="H13" s="2" t="s">
        <v>7</v>
      </c>
    </row>
    <row r="14" spans="1:8" x14ac:dyDescent="0.2">
      <c r="A14" s="2" t="s">
        <v>90</v>
      </c>
      <c r="B14" s="2">
        <v>28</v>
      </c>
      <c r="C14" s="2" t="s">
        <v>13</v>
      </c>
      <c r="D14" s="2" t="str">
        <f t="shared" si="0"/>
        <v>3</v>
      </c>
      <c r="E14" s="2" t="str">
        <f t="shared" si="1"/>
        <v>B</v>
      </c>
      <c r="F14" s="2" t="str">
        <f t="shared" si="2"/>
        <v>B</v>
      </c>
      <c r="G14" s="2" t="s">
        <v>6</v>
      </c>
      <c r="H14" s="2" t="s">
        <v>7</v>
      </c>
    </row>
    <row r="15" spans="1:8" x14ac:dyDescent="0.2">
      <c r="A15" s="2" t="s">
        <v>29</v>
      </c>
      <c r="B15" s="2">
        <v>32</v>
      </c>
      <c r="C15" s="2" t="s">
        <v>10</v>
      </c>
      <c r="D15" s="2" t="str">
        <f t="shared" si="0"/>
        <v>3</v>
      </c>
      <c r="E15" s="2" t="str">
        <f t="shared" si="1"/>
        <v>A</v>
      </c>
      <c r="F15" s="2" t="str">
        <f t="shared" si="2"/>
        <v>A</v>
      </c>
      <c r="G15" s="2" t="s">
        <v>6</v>
      </c>
      <c r="H15" s="2" t="s">
        <v>7</v>
      </c>
    </row>
    <row r="16" spans="1:8" x14ac:dyDescent="0.2">
      <c r="A16" s="2" t="s">
        <v>30</v>
      </c>
      <c r="B16" s="2">
        <v>32</v>
      </c>
      <c r="C16" s="2" t="s">
        <v>9</v>
      </c>
      <c r="D16" s="2" t="str">
        <f t="shared" si="0"/>
        <v>4</v>
      </c>
      <c r="E16" s="2" t="str">
        <f t="shared" si="1"/>
        <v>A</v>
      </c>
      <c r="F16" s="2" t="str">
        <f t="shared" si="2"/>
        <v>B</v>
      </c>
      <c r="G16" s="2" t="s">
        <v>6</v>
      </c>
      <c r="H16" s="2" t="s">
        <v>7</v>
      </c>
    </row>
    <row r="17" spans="1:8" x14ac:dyDescent="0.2">
      <c r="A17" s="2" t="s">
        <v>31</v>
      </c>
      <c r="B17" s="2">
        <v>32</v>
      </c>
      <c r="C17" s="2" t="s">
        <v>15</v>
      </c>
      <c r="D17" s="2" t="str">
        <f t="shared" si="0"/>
        <v>3</v>
      </c>
      <c r="E17" s="2" t="str">
        <f t="shared" si="1"/>
        <v>A</v>
      </c>
      <c r="F17" s="2" t="str">
        <f t="shared" si="2"/>
        <v>B</v>
      </c>
      <c r="G17" s="2" t="s">
        <v>11</v>
      </c>
      <c r="H17" s="2" t="s">
        <v>12</v>
      </c>
    </row>
    <row r="18" spans="1:8" x14ac:dyDescent="0.2">
      <c r="A18" s="2" t="s">
        <v>32</v>
      </c>
      <c r="B18" s="2">
        <v>32</v>
      </c>
      <c r="C18" s="2" t="s">
        <v>14</v>
      </c>
      <c r="D18" s="2" t="str">
        <f t="shared" si="0"/>
        <v>4</v>
      </c>
      <c r="E18" s="2" t="str">
        <f t="shared" si="1"/>
        <v>B</v>
      </c>
      <c r="F18" s="2" t="str">
        <f t="shared" si="2"/>
        <v>B</v>
      </c>
      <c r="G18" s="2" t="s">
        <v>11</v>
      </c>
      <c r="H18" s="2" t="s">
        <v>12</v>
      </c>
    </row>
    <row r="19" spans="1:8" x14ac:dyDescent="0.2">
      <c r="A19" s="2" t="s">
        <v>33</v>
      </c>
      <c r="B19" s="2">
        <v>32</v>
      </c>
      <c r="C19" s="2" t="s">
        <v>14</v>
      </c>
      <c r="D19" s="2" t="str">
        <f t="shared" si="0"/>
        <v>4</v>
      </c>
      <c r="E19" s="2" t="str">
        <f t="shared" si="1"/>
        <v>B</v>
      </c>
      <c r="F19" s="2" t="str">
        <f t="shared" si="2"/>
        <v>B</v>
      </c>
      <c r="G19" s="2" t="s">
        <v>11</v>
      </c>
      <c r="H19" s="2" t="s">
        <v>12</v>
      </c>
    </row>
    <row r="20" spans="1:8" x14ac:dyDescent="0.2">
      <c r="A20" s="2" t="s">
        <v>34</v>
      </c>
      <c r="B20" s="2">
        <v>32</v>
      </c>
      <c r="C20" s="2" t="s">
        <v>9</v>
      </c>
      <c r="D20" s="2" t="str">
        <f t="shared" si="0"/>
        <v>4</v>
      </c>
      <c r="E20" s="2" t="str">
        <f t="shared" si="1"/>
        <v>A</v>
      </c>
      <c r="F20" s="2" t="str">
        <f t="shared" si="2"/>
        <v>B</v>
      </c>
      <c r="G20" s="2" t="s">
        <v>11</v>
      </c>
      <c r="H20" s="2" t="s">
        <v>12</v>
      </c>
    </row>
    <row r="21" spans="1:8" x14ac:dyDescent="0.2">
      <c r="A21" s="2" t="s">
        <v>35</v>
      </c>
      <c r="B21" s="2">
        <v>31</v>
      </c>
      <c r="C21" s="2" t="s">
        <v>13</v>
      </c>
      <c r="D21" s="2" t="str">
        <f t="shared" si="0"/>
        <v>3</v>
      </c>
      <c r="E21" s="2" t="str">
        <f t="shared" si="1"/>
        <v>B</v>
      </c>
      <c r="F21" s="2" t="str">
        <f t="shared" si="2"/>
        <v>B</v>
      </c>
      <c r="G21" s="2" t="s">
        <v>6</v>
      </c>
      <c r="H21" s="2" t="s">
        <v>7</v>
      </c>
    </row>
    <row r="22" spans="1:8" x14ac:dyDescent="0.2">
      <c r="A22" s="2" t="s">
        <v>37</v>
      </c>
      <c r="B22" s="2">
        <v>33</v>
      </c>
      <c r="C22" s="2" t="s">
        <v>13</v>
      </c>
      <c r="D22" s="2" t="str">
        <f t="shared" si="0"/>
        <v>3</v>
      </c>
      <c r="E22" s="2" t="str">
        <f t="shared" si="1"/>
        <v>B</v>
      </c>
      <c r="F22" s="2" t="str">
        <f t="shared" si="2"/>
        <v>B</v>
      </c>
      <c r="G22" s="2" t="s">
        <v>6</v>
      </c>
      <c r="H22" s="2" t="s">
        <v>7</v>
      </c>
    </row>
    <row r="23" spans="1:8" x14ac:dyDescent="0.2">
      <c r="A23" s="2" t="s">
        <v>28</v>
      </c>
      <c r="B23" s="2">
        <v>38</v>
      </c>
      <c r="C23" s="2" t="s">
        <v>14</v>
      </c>
      <c r="D23" s="2" t="str">
        <f t="shared" si="0"/>
        <v>4</v>
      </c>
      <c r="E23" s="2" t="str">
        <f t="shared" si="1"/>
        <v>B</v>
      </c>
      <c r="F23" s="2" t="str">
        <f t="shared" si="2"/>
        <v>B</v>
      </c>
      <c r="G23" s="2" t="s">
        <v>6</v>
      </c>
      <c r="H23" s="2" t="s">
        <v>7</v>
      </c>
    </row>
    <row r="24" spans="1:8" x14ac:dyDescent="0.2">
      <c r="A24" s="2" t="s">
        <v>38</v>
      </c>
      <c r="B24" s="2">
        <v>33</v>
      </c>
      <c r="C24" s="2" t="s">
        <v>16</v>
      </c>
      <c r="D24" s="2" t="str">
        <f t="shared" si="0"/>
        <v>5</v>
      </c>
      <c r="E24" s="2" t="str">
        <f t="shared" si="1"/>
        <v>A</v>
      </c>
      <c r="F24" s="2" t="str">
        <f t="shared" si="2"/>
        <v>B</v>
      </c>
      <c r="G24" s="2" t="s">
        <v>6</v>
      </c>
      <c r="H24" s="2" t="s">
        <v>7</v>
      </c>
    </row>
    <row r="25" spans="1:8" x14ac:dyDescent="0.2">
      <c r="A25" s="2" t="s">
        <v>39</v>
      </c>
      <c r="B25" s="2">
        <v>27</v>
      </c>
      <c r="C25" s="2" t="s">
        <v>5</v>
      </c>
      <c r="D25" s="2" t="str">
        <f t="shared" si="0"/>
        <v>4</v>
      </c>
      <c r="E25" s="2" t="str">
        <f t="shared" si="1"/>
        <v>B</v>
      </c>
      <c r="F25" s="2" t="str">
        <f t="shared" si="2"/>
        <v>A</v>
      </c>
      <c r="G25" s="2" t="s">
        <v>6</v>
      </c>
      <c r="H25" s="2" t="s">
        <v>7</v>
      </c>
    </row>
    <row r="26" spans="1:8" x14ac:dyDescent="0.2">
      <c r="A26" s="2" t="s">
        <v>40</v>
      </c>
      <c r="B26" s="2">
        <v>36</v>
      </c>
      <c r="C26" s="2" t="s">
        <v>14</v>
      </c>
      <c r="D26" s="2" t="str">
        <f t="shared" si="0"/>
        <v>4</v>
      </c>
      <c r="E26" s="2" t="str">
        <f t="shared" si="1"/>
        <v>B</v>
      </c>
      <c r="F26" s="2" t="str">
        <f t="shared" si="2"/>
        <v>B</v>
      </c>
      <c r="G26" s="2" t="s">
        <v>11</v>
      </c>
      <c r="H26" s="2" t="s">
        <v>12</v>
      </c>
    </row>
    <row r="27" spans="1:8" x14ac:dyDescent="0.2">
      <c r="A27" s="2" t="s">
        <v>41</v>
      </c>
      <c r="B27" s="2">
        <v>36</v>
      </c>
      <c r="C27" s="2" t="s">
        <v>14</v>
      </c>
      <c r="D27" s="2" t="str">
        <f t="shared" si="0"/>
        <v>4</v>
      </c>
      <c r="E27" s="2" t="str">
        <f t="shared" si="1"/>
        <v>B</v>
      </c>
      <c r="F27" s="2" t="str">
        <f t="shared" si="2"/>
        <v>B</v>
      </c>
      <c r="G27" s="2" t="s">
        <v>11</v>
      </c>
      <c r="H27" s="2" t="s">
        <v>12</v>
      </c>
    </row>
    <row r="28" spans="1:8" x14ac:dyDescent="0.2">
      <c r="A28" s="2" t="s">
        <v>42</v>
      </c>
      <c r="B28" s="2">
        <v>35</v>
      </c>
      <c r="C28" s="2" t="s">
        <v>9</v>
      </c>
      <c r="D28" s="2" t="str">
        <f t="shared" si="0"/>
        <v>4</v>
      </c>
      <c r="E28" s="2" t="str">
        <f t="shared" si="1"/>
        <v>A</v>
      </c>
      <c r="F28" s="2" t="str">
        <f t="shared" si="2"/>
        <v>B</v>
      </c>
      <c r="G28" s="2" t="s">
        <v>6</v>
      </c>
      <c r="H28" s="2" t="s">
        <v>7</v>
      </c>
    </row>
    <row r="29" spans="1:8" x14ac:dyDescent="0.2">
      <c r="A29" s="2" t="s">
        <v>43</v>
      </c>
      <c r="B29" s="2">
        <v>37</v>
      </c>
      <c r="C29" s="2" t="s">
        <v>10</v>
      </c>
      <c r="D29" s="2" t="str">
        <f t="shared" si="0"/>
        <v>3</v>
      </c>
      <c r="E29" s="2" t="str">
        <f t="shared" si="1"/>
        <v>A</v>
      </c>
      <c r="F29" s="2" t="str">
        <f t="shared" si="2"/>
        <v>A</v>
      </c>
      <c r="G29" s="2" t="s">
        <v>11</v>
      </c>
      <c r="H29" s="2" t="s">
        <v>12</v>
      </c>
    </row>
    <row r="30" spans="1:8" x14ac:dyDescent="0.2">
      <c r="A30" s="2" t="s">
        <v>44</v>
      </c>
      <c r="B30" s="2">
        <v>34</v>
      </c>
      <c r="C30" s="2" t="s">
        <v>8</v>
      </c>
      <c r="D30" s="2" t="str">
        <f t="shared" si="0"/>
        <v>4</v>
      </c>
      <c r="E30" s="2" t="str">
        <f t="shared" si="1"/>
        <v>A</v>
      </c>
      <c r="F30" s="2" t="str">
        <f t="shared" si="2"/>
        <v>A</v>
      </c>
      <c r="G30" s="2" t="s">
        <v>6</v>
      </c>
      <c r="H30" s="2" t="s">
        <v>7</v>
      </c>
    </row>
    <row r="31" spans="1:8" x14ac:dyDescent="0.2">
      <c r="A31" s="2" t="s">
        <v>19</v>
      </c>
      <c r="B31" s="2">
        <v>28</v>
      </c>
      <c r="C31" s="2" t="s">
        <v>5</v>
      </c>
      <c r="D31" s="2" t="str">
        <f t="shared" si="0"/>
        <v>4</v>
      </c>
      <c r="E31" s="2" t="str">
        <f t="shared" si="1"/>
        <v>B</v>
      </c>
      <c r="F31" s="2" t="str">
        <f t="shared" si="2"/>
        <v>A</v>
      </c>
      <c r="G31" s="2" t="s">
        <v>6</v>
      </c>
      <c r="H31" s="2" t="s">
        <v>7</v>
      </c>
    </row>
    <row r="32" spans="1:8" x14ac:dyDescent="0.2">
      <c r="A32" s="2" t="s">
        <v>45</v>
      </c>
      <c r="B32" s="2">
        <v>38</v>
      </c>
      <c r="C32" s="2" t="s">
        <v>15</v>
      </c>
      <c r="D32" s="2" t="str">
        <f t="shared" si="0"/>
        <v>3</v>
      </c>
      <c r="E32" s="2" t="str">
        <f t="shared" si="1"/>
        <v>A</v>
      </c>
      <c r="F32" s="2" t="str">
        <f t="shared" si="2"/>
        <v>B</v>
      </c>
      <c r="G32" s="2" t="s">
        <v>6</v>
      </c>
      <c r="H32" s="2" t="s">
        <v>7</v>
      </c>
    </row>
    <row r="33" spans="1:8" x14ac:dyDescent="0.2">
      <c r="A33" s="2" t="s">
        <v>46</v>
      </c>
      <c r="B33" s="2">
        <v>38</v>
      </c>
      <c r="C33" s="2" t="s">
        <v>8</v>
      </c>
      <c r="D33" s="2" t="str">
        <f t="shared" si="0"/>
        <v>4</v>
      </c>
      <c r="E33" s="2" t="str">
        <f t="shared" si="1"/>
        <v>A</v>
      </c>
      <c r="F33" s="2" t="str">
        <f t="shared" si="2"/>
        <v>A</v>
      </c>
      <c r="G33" s="2" t="s">
        <v>6</v>
      </c>
      <c r="H33" s="2" t="s">
        <v>7</v>
      </c>
    </row>
    <row r="34" spans="1:8" x14ac:dyDescent="0.2">
      <c r="A34" s="2" t="s">
        <v>47</v>
      </c>
      <c r="B34" s="2">
        <v>37</v>
      </c>
      <c r="C34" s="2" t="s">
        <v>5</v>
      </c>
      <c r="D34" s="2" t="str">
        <f t="shared" si="0"/>
        <v>4</v>
      </c>
      <c r="E34" s="2" t="str">
        <f t="shared" si="1"/>
        <v>B</v>
      </c>
      <c r="F34" s="2" t="str">
        <f t="shared" si="2"/>
        <v>A</v>
      </c>
      <c r="G34" s="2" t="s">
        <v>6</v>
      </c>
      <c r="H34" s="2" t="s">
        <v>7</v>
      </c>
    </row>
    <row r="35" spans="1:8" x14ac:dyDescent="0.2">
      <c r="A35" s="2" t="s">
        <v>20</v>
      </c>
      <c r="B35" s="2">
        <v>37</v>
      </c>
      <c r="C35" s="2" t="s">
        <v>8</v>
      </c>
      <c r="D35" s="2" t="str">
        <f t="shared" si="0"/>
        <v>4</v>
      </c>
      <c r="E35" s="2" t="str">
        <f t="shared" si="1"/>
        <v>A</v>
      </c>
      <c r="F35" s="2" t="str">
        <f t="shared" si="2"/>
        <v>A</v>
      </c>
      <c r="G35" s="2" t="s">
        <v>6</v>
      </c>
      <c r="H35" s="2" t="s">
        <v>7</v>
      </c>
    </row>
    <row r="36" spans="1:8" x14ac:dyDescent="0.2">
      <c r="A36" s="2" t="s">
        <v>48</v>
      </c>
      <c r="B36" s="2">
        <v>32</v>
      </c>
      <c r="C36" s="2" t="s">
        <v>9</v>
      </c>
      <c r="D36" s="2" t="str">
        <f t="shared" si="0"/>
        <v>4</v>
      </c>
      <c r="E36" s="2" t="str">
        <f t="shared" si="1"/>
        <v>A</v>
      </c>
      <c r="F36" s="2" t="str">
        <f t="shared" si="2"/>
        <v>B</v>
      </c>
      <c r="G36" s="2" t="s">
        <v>6</v>
      </c>
      <c r="H36" s="2" t="s">
        <v>12</v>
      </c>
    </row>
    <row r="37" spans="1:8" x14ac:dyDescent="0.2">
      <c r="A37" s="2" t="s">
        <v>91</v>
      </c>
      <c r="B37" s="2">
        <v>32</v>
      </c>
      <c r="C37" s="2" t="s">
        <v>15</v>
      </c>
      <c r="D37" s="2" t="str">
        <f t="shared" si="0"/>
        <v>3</v>
      </c>
      <c r="E37" s="2" t="str">
        <f t="shared" si="1"/>
        <v>A</v>
      </c>
      <c r="F37" s="2" t="str">
        <f t="shared" si="2"/>
        <v>B</v>
      </c>
      <c r="G37" s="2" t="s">
        <v>6</v>
      </c>
      <c r="H37" s="2" t="s">
        <v>7</v>
      </c>
    </row>
    <row r="38" spans="1:8" x14ac:dyDescent="0.2">
      <c r="A38" s="2" t="s">
        <v>21</v>
      </c>
      <c r="B38" s="2">
        <v>30</v>
      </c>
      <c r="C38" s="2" t="s">
        <v>9</v>
      </c>
      <c r="D38" s="2" t="str">
        <f t="shared" si="0"/>
        <v>4</v>
      </c>
      <c r="E38" s="2" t="str">
        <f t="shared" si="1"/>
        <v>A</v>
      </c>
      <c r="F38" s="2" t="str">
        <f t="shared" si="2"/>
        <v>B</v>
      </c>
      <c r="G38" s="2" t="s">
        <v>6</v>
      </c>
      <c r="H38" s="2" t="s">
        <v>7</v>
      </c>
    </row>
    <row r="39" spans="1:8" x14ac:dyDescent="0.2">
      <c r="A39" s="2" t="s">
        <v>22</v>
      </c>
      <c r="B39" s="2">
        <v>29</v>
      </c>
      <c r="C39" s="2" t="s">
        <v>10</v>
      </c>
      <c r="D39" s="2" t="str">
        <f t="shared" si="0"/>
        <v>3</v>
      </c>
      <c r="E39" s="2" t="str">
        <f t="shared" si="1"/>
        <v>A</v>
      </c>
      <c r="F39" s="2" t="str">
        <f t="shared" si="2"/>
        <v>A</v>
      </c>
      <c r="G39" s="2" t="s">
        <v>11</v>
      </c>
      <c r="H39" s="2" t="s">
        <v>12</v>
      </c>
    </row>
    <row r="40" spans="1:8" x14ac:dyDescent="0.2">
      <c r="A40" s="2" t="s">
        <v>49</v>
      </c>
      <c r="B40" s="2">
        <v>37</v>
      </c>
      <c r="C40" s="2" t="s">
        <v>15</v>
      </c>
      <c r="D40" s="2" t="str">
        <f t="shared" si="0"/>
        <v>3</v>
      </c>
      <c r="E40" s="2" t="str">
        <f t="shared" si="1"/>
        <v>A</v>
      </c>
      <c r="F40" s="2" t="str">
        <f t="shared" si="2"/>
        <v>B</v>
      </c>
      <c r="G40" s="2" t="s">
        <v>11</v>
      </c>
      <c r="H40" s="2" t="s">
        <v>12</v>
      </c>
    </row>
    <row r="41" spans="1:8" x14ac:dyDescent="0.2">
      <c r="A41" s="2" t="s">
        <v>50</v>
      </c>
      <c r="B41" s="2">
        <v>37</v>
      </c>
      <c r="C41" s="2" t="s">
        <v>15</v>
      </c>
      <c r="D41" s="2" t="str">
        <f t="shared" si="0"/>
        <v>3</v>
      </c>
      <c r="E41" s="2" t="str">
        <f t="shared" si="1"/>
        <v>A</v>
      </c>
      <c r="F41" s="2" t="str">
        <f t="shared" si="2"/>
        <v>B</v>
      </c>
      <c r="G41" s="2" t="s">
        <v>11</v>
      </c>
      <c r="H41" s="2" t="s">
        <v>12</v>
      </c>
    </row>
    <row r="42" spans="1:8" x14ac:dyDescent="0.2">
      <c r="A42" s="2" t="s">
        <v>51</v>
      </c>
      <c r="B42" s="2">
        <v>37</v>
      </c>
      <c r="C42" s="2" t="s">
        <v>14</v>
      </c>
      <c r="D42" s="2" t="str">
        <f t="shared" si="0"/>
        <v>4</v>
      </c>
      <c r="E42" s="2" t="str">
        <f t="shared" si="1"/>
        <v>B</v>
      </c>
      <c r="F42" s="2" t="str">
        <f t="shared" si="2"/>
        <v>B</v>
      </c>
      <c r="G42" s="2" t="s">
        <v>6</v>
      </c>
      <c r="H42" s="2" t="s">
        <v>12</v>
      </c>
    </row>
    <row r="43" spans="1:8" x14ac:dyDescent="0.2">
      <c r="A43" s="2" t="s">
        <v>92</v>
      </c>
      <c r="B43" s="2">
        <v>30</v>
      </c>
      <c r="C43" s="2" t="s">
        <v>15</v>
      </c>
      <c r="D43" s="2" t="str">
        <f t="shared" si="0"/>
        <v>3</v>
      </c>
      <c r="E43" s="2" t="str">
        <f t="shared" si="1"/>
        <v>A</v>
      </c>
      <c r="F43" s="2" t="str">
        <f t="shared" si="2"/>
        <v>B</v>
      </c>
      <c r="G43" s="2" t="s">
        <v>6</v>
      </c>
      <c r="H43" s="2" t="s">
        <v>7</v>
      </c>
    </row>
    <row r="44" spans="1:8" x14ac:dyDescent="0.2">
      <c r="A44" s="2" t="s">
        <v>52</v>
      </c>
      <c r="B44" s="2">
        <v>30</v>
      </c>
      <c r="C44" s="2" t="s">
        <v>8</v>
      </c>
      <c r="D44" s="2" t="str">
        <f t="shared" si="0"/>
        <v>4</v>
      </c>
      <c r="E44" s="2" t="str">
        <f t="shared" si="1"/>
        <v>A</v>
      </c>
      <c r="F44" s="2" t="str">
        <f t="shared" si="2"/>
        <v>A</v>
      </c>
      <c r="G44" s="2" t="s">
        <v>6</v>
      </c>
      <c r="H44" s="2" t="s">
        <v>7</v>
      </c>
    </row>
    <row r="45" spans="1:8" x14ac:dyDescent="0.2">
      <c r="A45" s="2" t="s">
        <v>53</v>
      </c>
      <c r="B45" s="2">
        <v>40</v>
      </c>
      <c r="C45" s="2" t="s">
        <v>14</v>
      </c>
      <c r="D45" s="2" t="str">
        <f t="shared" si="0"/>
        <v>4</v>
      </c>
      <c r="E45" s="2" t="str">
        <f t="shared" si="1"/>
        <v>B</v>
      </c>
      <c r="F45" s="2" t="str">
        <f t="shared" si="2"/>
        <v>B</v>
      </c>
      <c r="G45" s="2" t="s">
        <v>11</v>
      </c>
      <c r="H45" s="2" t="s">
        <v>12</v>
      </c>
    </row>
    <row r="46" spans="1:8" x14ac:dyDescent="0.2">
      <c r="A46" s="2" t="s">
        <v>54</v>
      </c>
      <c r="B46" s="2">
        <v>38</v>
      </c>
      <c r="C46" s="2" t="s">
        <v>14</v>
      </c>
      <c r="D46" s="2" t="str">
        <f t="shared" si="0"/>
        <v>4</v>
      </c>
      <c r="E46" s="2" t="str">
        <f t="shared" si="1"/>
        <v>B</v>
      </c>
      <c r="F46" s="2" t="str">
        <f t="shared" si="2"/>
        <v>B</v>
      </c>
      <c r="G46" s="2" t="s">
        <v>6</v>
      </c>
      <c r="H46" s="2" t="s">
        <v>12</v>
      </c>
    </row>
    <row r="47" spans="1:8" x14ac:dyDescent="0.2">
      <c r="A47" s="2" t="s">
        <v>55</v>
      </c>
      <c r="B47" s="2">
        <v>38</v>
      </c>
      <c r="C47" s="2" t="s">
        <v>14</v>
      </c>
      <c r="D47" s="2" t="str">
        <f t="shared" si="0"/>
        <v>4</v>
      </c>
      <c r="E47" s="2" t="str">
        <f t="shared" si="1"/>
        <v>B</v>
      </c>
      <c r="F47" s="2" t="str">
        <f t="shared" si="2"/>
        <v>B</v>
      </c>
      <c r="G47" s="2" t="s">
        <v>11</v>
      </c>
      <c r="H47" s="2" t="s">
        <v>12</v>
      </c>
    </row>
    <row r="48" spans="1:8" x14ac:dyDescent="0.2">
      <c r="A48" s="2" t="s">
        <v>56</v>
      </c>
      <c r="B48" s="2">
        <v>30</v>
      </c>
      <c r="C48" s="2" t="s">
        <v>13</v>
      </c>
      <c r="D48" s="2" t="str">
        <f t="shared" si="0"/>
        <v>3</v>
      </c>
      <c r="E48" s="2" t="str">
        <f t="shared" si="1"/>
        <v>B</v>
      </c>
      <c r="F48" s="2" t="str">
        <f t="shared" si="2"/>
        <v>B</v>
      </c>
      <c r="G48" s="2" t="s">
        <v>11</v>
      </c>
      <c r="H48" s="2" t="s">
        <v>12</v>
      </c>
    </row>
    <row r="49" spans="1:8" x14ac:dyDescent="0.2">
      <c r="A49" s="2" t="s">
        <v>57</v>
      </c>
      <c r="B49" s="2">
        <v>35</v>
      </c>
      <c r="C49" s="2" t="s">
        <v>9</v>
      </c>
      <c r="D49" s="2" t="str">
        <f t="shared" si="0"/>
        <v>4</v>
      </c>
      <c r="E49" s="2" t="str">
        <f t="shared" si="1"/>
        <v>A</v>
      </c>
      <c r="F49" s="2" t="str">
        <f t="shared" si="2"/>
        <v>B</v>
      </c>
      <c r="G49" s="2" t="s">
        <v>11</v>
      </c>
      <c r="H49" s="2" t="s">
        <v>12</v>
      </c>
    </row>
    <row r="50" spans="1:8" x14ac:dyDescent="0.2">
      <c r="A50" s="2" t="s">
        <v>58</v>
      </c>
      <c r="B50" s="2">
        <v>35</v>
      </c>
      <c r="C50" s="2" t="s">
        <v>9</v>
      </c>
      <c r="D50" s="2" t="str">
        <f t="shared" si="0"/>
        <v>4</v>
      </c>
      <c r="E50" s="2" t="str">
        <f t="shared" si="1"/>
        <v>A</v>
      </c>
      <c r="F50" s="2" t="str">
        <f t="shared" si="2"/>
        <v>B</v>
      </c>
      <c r="G50" s="2" t="s">
        <v>11</v>
      </c>
      <c r="H50" s="2" t="s">
        <v>12</v>
      </c>
    </row>
    <row r="51" spans="1:8" x14ac:dyDescent="0.2">
      <c r="A51" s="2" t="s">
        <v>23</v>
      </c>
      <c r="B51" s="2">
        <v>28</v>
      </c>
      <c r="C51" s="2" t="s">
        <v>13</v>
      </c>
      <c r="D51" s="2" t="str">
        <f t="shared" si="0"/>
        <v>3</v>
      </c>
      <c r="E51" s="2" t="str">
        <f t="shared" si="1"/>
        <v>B</v>
      </c>
      <c r="F51" s="2" t="str">
        <f t="shared" si="2"/>
        <v>B</v>
      </c>
      <c r="G51" s="2" t="s">
        <v>6</v>
      </c>
      <c r="H51" s="2" t="s">
        <v>7</v>
      </c>
    </row>
    <row r="52" spans="1:8" x14ac:dyDescent="0.2">
      <c r="A52" s="2" t="s">
        <v>24</v>
      </c>
      <c r="B52" s="2">
        <v>33</v>
      </c>
      <c r="C52" s="2" t="s">
        <v>10</v>
      </c>
      <c r="D52" s="2" t="str">
        <f t="shared" si="0"/>
        <v>3</v>
      </c>
      <c r="E52" s="2" t="str">
        <f t="shared" si="1"/>
        <v>A</v>
      </c>
      <c r="F52" s="2" t="str">
        <f t="shared" si="2"/>
        <v>A</v>
      </c>
      <c r="G52" s="2" t="s">
        <v>11</v>
      </c>
      <c r="H52" s="2" t="s">
        <v>12</v>
      </c>
    </row>
    <row r="53" spans="1:8" x14ac:dyDescent="0.2">
      <c r="A53" s="2" t="s">
        <v>25</v>
      </c>
      <c r="B53" s="2">
        <v>33</v>
      </c>
      <c r="C53" s="2" t="s">
        <v>13</v>
      </c>
      <c r="D53" s="2" t="str">
        <f t="shared" si="0"/>
        <v>3</v>
      </c>
      <c r="E53" s="2" t="str">
        <f t="shared" si="1"/>
        <v>B</v>
      </c>
      <c r="F53" s="2" t="str">
        <f t="shared" si="2"/>
        <v>B</v>
      </c>
      <c r="G53" s="2" t="s">
        <v>11</v>
      </c>
      <c r="H53" s="2" t="s">
        <v>12</v>
      </c>
    </row>
    <row r="54" spans="1:8" x14ac:dyDescent="0.2">
      <c r="A54" s="2" t="s">
        <v>26</v>
      </c>
      <c r="B54" s="2">
        <v>31</v>
      </c>
      <c r="C54" s="2" t="s">
        <v>14</v>
      </c>
      <c r="D54" s="2" t="str">
        <f t="shared" si="0"/>
        <v>4</v>
      </c>
      <c r="E54" s="2" t="str">
        <f t="shared" si="1"/>
        <v>B</v>
      </c>
      <c r="F54" s="2" t="str">
        <f t="shared" si="2"/>
        <v>B</v>
      </c>
      <c r="G54" s="2" t="s">
        <v>11</v>
      </c>
      <c r="H54" s="2" t="s">
        <v>12</v>
      </c>
    </row>
    <row r="55" spans="1:8" x14ac:dyDescent="0.2">
      <c r="A55" s="2" t="s">
        <v>59</v>
      </c>
      <c r="B55" s="2">
        <v>37</v>
      </c>
      <c r="C55" s="2" t="s">
        <v>10</v>
      </c>
      <c r="D55" s="2" t="str">
        <f t="shared" si="0"/>
        <v>3</v>
      </c>
      <c r="E55" s="2" t="str">
        <f t="shared" si="1"/>
        <v>A</v>
      </c>
      <c r="F55" s="2" t="str">
        <f t="shared" si="2"/>
        <v>A</v>
      </c>
      <c r="G55" s="2" t="s">
        <v>6</v>
      </c>
      <c r="H55" s="2" t="s">
        <v>7</v>
      </c>
    </row>
    <row r="56" spans="1:8" x14ac:dyDescent="0.2">
      <c r="A56" s="2" t="s">
        <v>60</v>
      </c>
      <c r="B56" s="2">
        <v>37</v>
      </c>
      <c r="C56" s="2" t="s">
        <v>10</v>
      </c>
      <c r="D56" s="2" t="str">
        <f t="shared" si="0"/>
        <v>3</v>
      </c>
      <c r="E56" s="2" t="str">
        <f t="shared" si="1"/>
        <v>A</v>
      </c>
      <c r="F56" s="2" t="str">
        <f t="shared" si="2"/>
        <v>A</v>
      </c>
      <c r="G56" s="2" t="s">
        <v>11</v>
      </c>
      <c r="H56" s="2" t="s">
        <v>12</v>
      </c>
    </row>
    <row r="57" spans="1:8" x14ac:dyDescent="0.2">
      <c r="A57" s="2" t="s">
        <v>61</v>
      </c>
      <c r="B57" s="2">
        <v>37</v>
      </c>
      <c r="C57" s="2" t="s">
        <v>10</v>
      </c>
      <c r="D57" s="2" t="str">
        <f t="shared" si="0"/>
        <v>3</v>
      </c>
      <c r="E57" s="2" t="str">
        <f t="shared" si="1"/>
        <v>A</v>
      </c>
      <c r="F57" s="2" t="str">
        <f t="shared" si="2"/>
        <v>A</v>
      </c>
      <c r="G57" s="2" t="s">
        <v>11</v>
      </c>
      <c r="H57" s="2" t="s">
        <v>12</v>
      </c>
    </row>
    <row r="58" spans="1:8" x14ac:dyDescent="0.2">
      <c r="A58" s="2" t="s">
        <v>62</v>
      </c>
      <c r="B58" s="2">
        <v>31</v>
      </c>
      <c r="C58" s="2" t="s">
        <v>13</v>
      </c>
      <c r="D58" s="2" t="str">
        <f t="shared" si="0"/>
        <v>3</v>
      </c>
      <c r="E58" s="2" t="str">
        <f t="shared" si="1"/>
        <v>B</v>
      </c>
      <c r="F58" s="2" t="str">
        <f t="shared" si="2"/>
        <v>B</v>
      </c>
      <c r="G58" s="2" t="s">
        <v>11</v>
      </c>
      <c r="H58" s="2" t="s">
        <v>12</v>
      </c>
    </row>
    <row r="59" spans="1:8" x14ac:dyDescent="0.2">
      <c r="A59" s="2" t="s">
        <v>63</v>
      </c>
      <c r="B59" s="2">
        <v>26</v>
      </c>
      <c r="C59" s="2" t="s">
        <v>15</v>
      </c>
      <c r="D59" s="2" t="str">
        <f t="shared" si="0"/>
        <v>3</v>
      </c>
      <c r="E59" s="2" t="str">
        <f t="shared" si="1"/>
        <v>A</v>
      </c>
      <c r="F59" s="2" t="str">
        <f t="shared" si="2"/>
        <v>B</v>
      </c>
      <c r="G59" s="2" t="s">
        <v>6</v>
      </c>
      <c r="H59" s="2" t="s">
        <v>7</v>
      </c>
    </row>
    <row r="60" spans="1:8" x14ac:dyDescent="0.2">
      <c r="A60" s="2" t="s">
        <v>64</v>
      </c>
      <c r="B60" s="2">
        <v>39</v>
      </c>
      <c r="C60" s="2" t="s">
        <v>13</v>
      </c>
      <c r="D60" s="2" t="str">
        <f t="shared" si="0"/>
        <v>3</v>
      </c>
      <c r="E60" s="2" t="str">
        <f t="shared" si="1"/>
        <v>B</v>
      </c>
      <c r="F60" s="2" t="str">
        <f t="shared" si="2"/>
        <v>B</v>
      </c>
      <c r="G60" s="2" t="s">
        <v>11</v>
      </c>
      <c r="H60" s="2" t="s">
        <v>12</v>
      </c>
    </row>
    <row r="61" spans="1:8" x14ac:dyDescent="0.2">
      <c r="A61" s="2" t="s">
        <v>65</v>
      </c>
      <c r="B61" s="2">
        <v>29</v>
      </c>
      <c r="C61" s="2" t="s">
        <v>9</v>
      </c>
      <c r="D61" s="2" t="str">
        <f t="shared" si="0"/>
        <v>4</v>
      </c>
      <c r="E61" s="2" t="str">
        <f t="shared" si="1"/>
        <v>A</v>
      </c>
      <c r="F61" s="2" t="str">
        <f t="shared" si="2"/>
        <v>B</v>
      </c>
      <c r="G61" s="2" t="s">
        <v>6</v>
      </c>
      <c r="H61" s="2" t="s">
        <v>7</v>
      </c>
    </row>
    <row r="62" spans="1:8" x14ac:dyDescent="0.2">
      <c r="A62" s="2" t="s">
        <v>66</v>
      </c>
      <c r="B62" s="2">
        <v>33</v>
      </c>
      <c r="C62" s="2" t="s">
        <v>5</v>
      </c>
      <c r="D62" s="2" t="str">
        <f t="shared" si="0"/>
        <v>4</v>
      </c>
      <c r="E62" s="2" t="str">
        <f t="shared" si="1"/>
        <v>B</v>
      </c>
      <c r="F62" s="2" t="str">
        <f t="shared" si="2"/>
        <v>A</v>
      </c>
      <c r="G62" s="2" t="s">
        <v>6</v>
      </c>
      <c r="H62" s="2" t="s">
        <v>7</v>
      </c>
    </row>
    <row r="63" spans="1:8" x14ac:dyDescent="0.2">
      <c r="A63" s="2" t="s">
        <v>67</v>
      </c>
      <c r="B63" s="2">
        <v>33</v>
      </c>
      <c r="C63" s="2" t="s">
        <v>8</v>
      </c>
      <c r="D63" s="2" t="str">
        <f t="shared" si="0"/>
        <v>4</v>
      </c>
      <c r="E63" s="2" t="str">
        <f t="shared" si="1"/>
        <v>A</v>
      </c>
      <c r="F63" s="2" t="str">
        <f t="shared" si="2"/>
        <v>A</v>
      </c>
      <c r="G63" s="2" t="s">
        <v>6</v>
      </c>
      <c r="H63" s="2" t="s">
        <v>7</v>
      </c>
    </row>
    <row r="64" spans="1:8" x14ac:dyDescent="0.2">
      <c r="A64" s="2" t="s">
        <v>68</v>
      </c>
      <c r="B64" s="2">
        <v>30</v>
      </c>
      <c r="C64" s="2" t="s">
        <v>13</v>
      </c>
      <c r="D64" s="2" t="str">
        <f t="shared" si="0"/>
        <v>3</v>
      </c>
      <c r="E64" s="2" t="str">
        <f t="shared" si="1"/>
        <v>B</v>
      </c>
      <c r="F64" s="2" t="str">
        <f t="shared" si="2"/>
        <v>B</v>
      </c>
      <c r="G64" s="2" t="s">
        <v>6</v>
      </c>
      <c r="H64" s="2" t="s">
        <v>12</v>
      </c>
    </row>
    <row r="65" spans="1:8" x14ac:dyDescent="0.2">
      <c r="A65" s="2" t="s">
        <v>69</v>
      </c>
      <c r="B65" s="2">
        <v>40</v>
      </c>
      <c r="C65" s="2" t="s">
        <v>13</v>
      </c>
      <c r="D65" s="2" t="str">
        <f t="shared" si="0"/>
        <v>3</v>
      </c>
      <c r="E65" s="2" t="str">
        <f t="shared" si="1"/>
        <v>B</v>
      </c>
      <c r="F65" s="2" t="str">
        <f t="shared" si="2"/>
        <v>B</v>
      </c>
      <c r="G65" s="2" t="s">
        <v>11</v>
      </c>
      <c r="H65" s="2" t="s">
        <v>12</v>
      </c>
    </row>
    <row r="66" spans="1:8" x14ac:dyDescent="0.2">
      <c r="A66" s="2" t="s">
        <v>70</v>
      </c>
      <c r="B66" s="2">
        <v>37</v>
      </c>
      <c r="C66" s="2" t="s">
        <v>10</v>
      </c>
      <c r="D66" s="2" t="str">
        <f t="shared" si="0"/>
        <v>3</v>
      </c>
      <c r="E66" s="2" t="str">
        <f t="shared" si="1"/>
        <v>A</v>
      </c>
      <c r="F66" s="2" t="str">
        <f t="shared" si="2"/>
        <v>A</v>
      </c>
      <c r="G66" s="2" t="s">
        <v>6</v>
      </c>
      <c r="H66" s="2" t="s">
        <v>7</v>
      </c>
    </row>
    <row r="67" spans="1:8" x14ac:dyDescent="0.2">
      <c r="A67" s="2" t="s">
        <v>71</v>
      </c>
      <c r="B67" s="2">
        <v>37</v>
      </c>
      <c r="C67" s="2" t="s">
        <v>15</v>
      </c>
      <c r="D67" s="2" t="str">
        <f t="shared" ref="D67:D76" si="3">LEFT(C67,1)</f>
        <v>3</v>
      </c>
      <c r="E67" s="2" t="str">
        <f t="shared" ref="E67:E76" si="4">MID(C67,2,1)</f>
        <v>A</v>
      </c>
      <c r="F67" s="2" t="str">
        <f t="shared" ref="F67:F76" si="5">MID(C67,3,1)</f>
        <v>B</v>
      </c>
      <c r="G67" s="2" t="s">
        <v>11</v>
      </c>
      <c r="H67" s="2" t="s">
        <v>12</v>
      </c>
    </row>
    <row r="68" spans="1:8" x14ac:dyDescent="0.2">
      <c r="A68" s="2" t="s">
        <v>72</v>
      </c>
      <c r="B68" s="2">
        <v>37</v>
      </c>
      <c r="C68" s="2" t="s">
        <v>13</v>
      </c>
      <c r="D68" s="2" t="str">
        <f t="shared" si="3"/>
        <v>3</v>
      </c>
      <c r="E68" s="2" t="str">
        <f t="shared" si="4"/>
        <v>B</v>
      </c>
      <c r="F68" s="2" t="str">
        <f t="shared" si="5"/>
        <v>B</v>
      </c>
      <c r="G68" s="2" t="s">
        <v>11</v>
      </c>
      <c r="H68" s="2" t="s">
        <v>12</v>
      </c>
    </row>
    <row r="69" spans="1:8" x14ac:dyDescent="0.2">
      <c r="A69" s="2" t="s">
        <v>73</v>
      </c>
      <c r="B69" s="2">
        <v>29</v>
      </c>
      <c r="C69" s="2" t="s">
        <v>15</v>
      </c>
      <c r="D69" s="2" t="str">
        <f t="shared" si="3"/>
        <v>3</v>
      </c>
      <c r="E69" s="2" t="str">
        <f t="shared" si="4"/>
        <v>A</v>
      </c>
      <c r="F69" s="2" t="str">
        <f t="shared" si="5"/>
        <v>B</v>
      </c>
      <c r="G69" s="2" t="s">
        <v>11</v>
      </c>
      <c r="H69" s="2" t="s">
        <v>12</v>
      </c>
    </row>
    <row r="70" spans="1:8" x14ac:dyDescent="0.2">
      <c r="A70" s="2" t="s">
        <v>74</v>
      </c>
      <c r="B70" s="2">
        <v>39</v>
      </c>
      <c r="C70" s="2" t="s">
        <v>8</v>
      </c>
      <c r="D70" s="2" t="str">
        <f t="shared" si="3"/>
        <v>4</v>
      </c>
      <c r="E70" s="2" t="str">
        <f t="shared" si="4"/>
        <v>A</v>
      </c>
      <c r="F70" s="2" t="str">
        <f t="shared" si="5"/>
        <v>A</v>
      </c>
      <c r="G70" s="2" t="s">
        <v>11</v>
      </c>
      <c r="H70" s="2" t="s">
        <v>12</v>
      </c>
    </row>
    <row r="71" spans="1:8" x14ac:dyDescent="0.2">
      <c r="A71" s="2" t="s">
        <v>93</v>
      </c>
      <c r="B71" s="2">
        <v>39</v>
      </c>
      <c r="C71" s="2" t="s">
        <v>5</v>
      </c>
      <c r="D71" s="2" t="str">
        <f t="shared" si="3"/>
        <v>4</v>
      </c>
      <c r="E71" s="2" t="str">
        <f t="shared" si="4"/>
        <v>B</v>
      </c>
      <c r="F71" s="2" t="str">
        <f t="shared" si="5"/>
        <v>A</v>
      </c>
      <c r="G71" s="2" t="s">
        <v>6</v>
      </c>
      <c r="H71" s="2" t="s">
        <v>7</v>
      </c>
    </row>
    <row r="72" spans="1:8" x14ac:dyDescent="0.2">
      <c r="A72" s="2" t="s">
        <v>75</v>
      </c>
      <c r="B72" s="2">
        <v>33</v>
      </c>
      <c r="C72" s="2" t="s">
        <v>5</v>
      </c>
      <c r="D72" s="2" t="str">
        <f t="shared" si="3"/>
        <v>4</v>
      </c>
      <c r="E72" s="2" t="str">
        <f t="shared" si="4"/>
        <v>B</v>
      </c>
      <c r="F72" s="2" t="str">
        <f t="shared" si="5"/>
        <v>A</v>
      </c>
      <c r="G72" s="2" t="s">
        <v>11</v>
      </c>
      <c r="H72" s="2" t="s">
        <v>12</v>
      </c>
    </row>
    <row r="73" spans="1:8" x14ac:dyDescent="0.2">
      <c r="A73" s="2" t="s">
        <v>77</v>
      </c>
      <c r="B73" s="2">
        <v>29</v>
      </c>
      <c r="C73" s="2" t="s">
        <v>8</v>
      </c>
      <c r="D73" s="2" t="str">
        <f t="shared" si="3"/>
        <v>4</v>
      </c>
      <c r="E73" s="2" t="str">
        <f t="shared" si="4"/>
        <v>A</v>
      </c>
      <c r="F73" s="2" t="str">
        <f t="shared" si="5"/>
        <v>A</v>
      </c>
      <c r="G73" s="2" t="s">
        <v>6</v>
      </c>
      <c r="H73" s="2" t="s">
        <v>7</v>
      </c>
    </row>
    <row r="74" spans="1:8" x14ac:dyDescent="0.2">
      <c r="A74" s="2" t="s">
        <v>78</v>
      </c>
      <c r="B74" s="2">
        <v>29</v>
      </c>
      <c r="C74" s="2" t="s">
        <v>8</v>
      </c>
      <c r="D74" s="2" t="str">
        <f t="shared" si="3"/>
        <v>4</v>
      </c>
      <c r="E74" s="2" t="str">
        <f t="shared" si="4"/>
        <v>A</v>
      </c>
      <c r="F74" s="2" t="str">
        <f t="shared" si="5"/>
        <v>A</v>
      </c>
      <c r="G74" s="2" t="s">
        <v>11</v>
      </c>
      <c r="H74" s="2" t="s">
        <v>12</v>
      </c>
    </row>
    <row r="75" spans="1:8" x14ac:dyDescent="0.2">
      <c r="A75" s="2" t="s">
        <v>79</v>
      </c>
      <c r="B75" s="2">
        <v>26</v>
      </c>
      <c r="C75" s="2" t="s">
        <v>14</v>
      </c>
      <c r="D75" s="2" t="str">
        <f t="shared" si="3"/>
        <v>4</v>
      </c>
      <c r="E75" s="2" t="str">
        <f t="shared" si="4"/>
        <v>B</v>
      </c>
      <c r="F75" s="2" t="str">
        <f t="shared" si="5"/>
        <v>B</v>
      </c>
      <c r="G75" s="2" t="s">
        <v>11</v>
      </c>
      <c r="H75" s="2" t="s">
        <v>12</v>
      </c>
    </row>
    <row r="76" spans="1:8" x14ac:dyDescent="0.2">
      <c r="A76" s="2" t="s">
        <v>80</v>
      </c>
      <c r="B76" s="2">
        <v>26</v>
      </c>
      <c r="C76" s="2" t="s">
        <v>14</v>
      </c>
      <c r="D76" s="2" t="str">
        <f t="shared" si="3"/>
        <v>4</v>
      </c>
      <c r="E76" s="2" t="str">
        <f t="shared" si="4"/>
        <v>B</v>
      </c>
      <c r="F76" s="2" t="str">
        <f t="shared" si="5"/>
        <v>B</v>
      </c>
      <c r="G76" s="2" t="s">
        <v>6</v>
      </c>
      <c r="H76" s="2" t="s">
        <v>12</v>
      </c>
    </row>
  </sheetData>
  <autoFilter ref="A1:H76" xr:uid="{86D5CF91-343C-4347-BB51-B82EFEF3C31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ED9A-1DD1-9C46-B992-AD73FCCDF249}">
  <dimension ref="F14:H16"/>
  <sheetViews>
    <sheetView zoomScale="82" workbookViewId="0">
      <selection activeCell="D14" sqref="D14:D16"/>
    </sheetView>
  </sheetViews>
  <sheetFormatPr baseColWidth="10" defaultRowHeight="19" x14ac:dyDescent="0.25"/>
  <cols>
    <col min="1" max="1" width="10.83203125" style="3"/>
    <col min="2" max="2" width="48.5" style="3" customWidth="1"/>
    <col min="3" max="3" width="22.33203125" style="3" customWidth="1"/>
    <col min="4" max="4" width="45.1640625" style="3" customWidth="1"/>
    <col min="5" max="5" width="35.6640625" style="3" customWidth="1"/>
    <col min="6" max="6" width="51.1640625" style="3" customWidth="1"/>
    <col min="7" max="7" width="68" style="4" customWidth="1"/>
    <col min="8" max="8" width="27.5" style="5" customWidth="1"/>
    <col min="9" max="16384" width="10.83203125" style="3"/>
  </cols>
  <sheetData>
    <row r="14" spans="6:8" x14ac:dyDescent="0.25">
      <c r="F14" s="4"/>
      <c r="G14" s="5"/>
      <c r="H14" s="3"/>
    </row>
    <row r="15" spans="6:8" x14ac:dyDescent="0.25">
      <c r="F15" s="4"/>
      <c r="G15" s="5"/>
      <c r="H15" s="3"/>
    </row>
    <row r="16" spans="6:8" x14ac:dyDescent="0.25">
      <c r="F16" s="4"/>
      <c r="G16" s="5"/>
      <c r="H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F116-00E8-7448-AA21-4EC458949F40}">
  <dimension ref="E1:F3"/>
  <sheetViews>
    <sheetView zoomScale="93" workbookViewId="0">
      <selection sqref="A1:XFD17"/>
    </sheetView>
  </sheetViews>
  <sheetFormatPr baseColWidth="10" defaultRowHeight="16" x14ac:dyDescent="0.2"/>
  <cols>
    <col min="6" max="6" width="19" style="1" customWidth="1"/>
    <col min="10" max="10" width="23.1640625" customWidth="1"/>
    <col min="14" max="14" width="17.1640625" customWidth="1"/>
  </cols>
  <sheetData>
    <row r="1" spans="5:5" x14ac:dyDescent="0.2">
      <c r="E1" s="2"/>
    </row>
    <row r="2" spans="5:5" x14ac:dyDescent="0.2">
      <c r="E2" s="2"/>
    </row>
    <row r="3" spans="5:5" x14ac:dyDescent="0.2">
      <c r="E3" s="2"/>
    </row>
  </sheetData>
  <conditionalFormatting sqref="B1:B3">
    <cfRule type="duplicateValues" dxfId="8" priority="11"/>
    <cfRule type="duplicateValues" dxfId="7" priority="12"/>
    <cfRule type="duplicateValues" dxfId="6" priority="1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DBC0-37D7-6C45-A6FA-081743E39D1C}">
  <dimension ref="E1:Z4"/>
  <sheetViews>
    <sheetView workbookViewId="0">
      <selection sqref="A1:XFD20"/>
    </sheetView>
  </sheetViews>
  <sheetFormatPr baseColWidth="10" defaultRowHeight="16" x14ac:dyDescent="0.2"/>
  <cols>
    <col min="6" max="6" width="10.83203125" style="1"/>
  </cols>
  <sheetData>
    <row r="1" spans="5:26" x14ac:dyDescent="0.2">
      <c r="E1" s="2"/>
      <c r="F1" s="2"/>
      <c r="Z1" s="2"/>
    </row>
    <row r="2" spans="5:26" x14ac:dyDescent="0.2">
      <c r="E2" s="2"/>
      <c r="F2" s="2"/>
      <c r="Z2" s="2"/>
    </row>
    <row r="3" spans="5:26" x14ac:dyDescent="0.2">
      <c r="E3" s="2"/>
      <c r="F3" s="2"/>
      <c r="Z3" s="2"/>
    </row>
    <row r="4" spans="5:26" x14ac:dyDescent="0.2">
      <c r="E4" s="2"/>
    </row>
  </sheetData>
  <conditionalFormatting sqref="B1:B3">
    <cfRule type="duplicateValues" dxfId="5" priority="7"/>
    <cfRule type="duplicateValues" dxfId="4" priority="8"/>
    <cfRule type="duplicateValues" dxfId="3" priority="9"/>
  </conditionalFormatting>
  <conditionalFormatting sqref="B4">
    <cfRule type="duplicateValues" dxfId="2" priority="13"/>
    <cfRule type="duplicateValues" dxfId="1" priority="14"/>
    <cfRule type="duplicateValues" dxfId="0" priority="1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4E65-6046-B84F-BB24-F96CF1A2B2EF}">
  <dimension ref="E1"/>
  <sheetViews>
    <sheetView workbookViewId="0">
      <selection sqref="A1:XFD25"/>
    </sheetView>
  </sheetViews>
  <sheetFormatPr baseColWidth="10" defaultRowHeight="16" x14ac:dyDescent="0.2"/>
  <cols>
    <col min="5" max="5" width="10.832031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EE4A-7C76-5B43-8828-C99D4C1C5056}">
  <dimension ref="A1"/>
  <sheetViews>
    <sheetView workbookViewId="0">
      <selection sqref="A1:XFD21"/>
    </sheetView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3ED4-2DBD-7846-B6EB-C8ABDD2DFFA9}">
  <dimension ref="A1"/>
  <sheetViews>
    <sheetView workbookViewId="0">
      <selection sqref="A1:XFD17"/>
    </sheetView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FA29-1E7A-B64C-A3DA-EF4E5822178E}">
  <dimension ref="A1:E11"/>
  <sheetViews>
    <sheetView workbookViewId="0">
      <selection activeCell="M8" sqref="M8"/>
    </sheetView>
  </sheetViews>
  <sheetFormatPr baseColWidth="10" defaultRowHeight="16" x14ac:dyDescent="0.2"/>
  <sheetData>
    <row r="1" spans="1:5" s="7" customFormat="1" x14ac:dyDescent="0.2">
      <c r="A1" s="7" t="s">
        <v>18</v>
      </c>
      <c r="B1" s="7" t="s">
        <v>0</v>
      </c>
      <c r="C1" s="7" t="s">
        <v>1</v>
      </c>
      <c r="D1" s="7" t="s">
        <v>2</v>
      </c>
      <c r="E1" s="7" t="s">
        <v>3</v>
      </c>
    </row>
    <row r="2" spans="1:5" s="2" customFormat="1" x14ac:dyDescent="0.2">
      <c r="A2" s="2" t="s">
        <v>27</v>
      </c>
      <c r="B2" s="2">
        <v>36</v>
      </c>
      <c r="C2" s="2" t="s">
        <v>5</v>
      </c>
      <c r="D2" s="2" t="s">
        <v>6</v>
      </c>
      <c r="E2" s="2" t="s">
        <v>7</v>
      </c>
    </row>
    <row r="3" spans="1:5" s="2" customFormat="1" x14ac:dyDescent="0.2">
      <c r="A3" s="2" t="s">
        <v>28</v>
      </c>
      <c r="B3" s="2">
        <v>38</v>
      </c>
      <c r="C3" s="2" t="s">
        <v>14</v>
      </c>
      <c r="D3" s="2" t="s">
        <v>6</v>
      </c>
      <c r="E3" s="2" t="s">
        <v>4</v>
      </c>
    </row>
    <row r="4" spans="1:5" s="2" customFormat="1" x14ac:dyDescent="0.2">
      <c r="A4" s="2" t="s">
        <v>19</v>
      </c>
      <c r="B4" s="2">
        <v>28</v>
      </c>
      <c r="C4" s="2" t="s">
        <v>5</v>
      </c>
      <c r="D4" s="2" t="s">
        <v>6</v>
      </c>
      <c r="E4" s="2" t="s">
        <v>7</v>
      </c>
    </row>
    <row r="5" spans="1:5" s="2" customFormat="1" x14ac:dyDescent="0.2">
      <c r="A5" s="2" t="s">
        <v>20</v>
      </c>
      <c r="B5" s="2">
        <v>37</v>
      </c>
      <c r="C5" s="2" t="s">
        <v>8</v>
      </c>
      <c r="D5" s="2" t="s">
        <v>6</v>
      </c>
      <c r="E5" s="2" t="s">
        <v>7</v>
      </c>
    </row>
    <row r="6" spans="1:5" s="2" customFormat="1" x14ac:dyDescent="0.2">
      <c r="A6" s="2" t="s">
        <v>21</v>
      </c>
      <c r="B6" s="2">
        <v>30</v>
      </c>
      <c r="C6" s="2" t="s">
        <v>9</v>
      </c>
      <c r="D6" s="2" t="s">
        <v>6</v>
      </c>
      <c r="E6" s="2" t="s">
        <v>7</v>
      </c>
    </row>
    <row r="7" spans="1:5" s="2" customFormat="1" x14ac:dyDescent="0.2">
      <c r="A7" s="2" t="s">
        <v>22</v>
      </c>
      <c r="B7" s="2">
        <v>29</v>
      </c>
      <c r="C7" s="2" t="s">
        <v>10</v>
      </c>
      <c r="D7" s="2" t="s">
        <v>11</v>
      </c>
      <c r="E7" s="2" t="s">
        <v>12</v>
      </c>
    </row>
    <row r="8" spans="1:5" s="2" customFormat="1" x14ac:dyDescent="0.2">
      <c r="A8" s="2" t="s">
        <v>23</v>
      </c>
      <c r="B8" s="2">
        <v>28</v>
      </c>
      <c r="C8" s="2" t="s">
        <v>13</v>
      </c>
      <c r="D8" s="2" t="s">
        <v>6</v>
      </c>
      <c r="E8" s="2" t="s">
        <v>7</v>
      </c>
    </row>
    <row r="9" spans="1:5" s="2" customFormat="1" x14ac:dyDescent="0.2">
      <c r="A9" s="2" t="s">
        <v>24</v>
      </c>
      <c r="B9" s="2">
        <v>33</v>
      </c>
      <c r="C9" s="2" t="s">
        <v>10</v>
      </c>
      <c r="D9" s="2" t="s">
        <v>11</v>
      </c>
      <c r="E9" s="2" t="s">
        <v>12</v>
      </c>
    </row>
    <row r="10" spans="1:5" s="2" customFormat="1" x14ac:dyDescent="0.2">
      <c r="A10" s="2" t="s">
        <v>25</v>
      </c>
      <c r="B10" s="2">
        <v>33</v>
      </c>
      <c r="C10" s="2" t="s">
        <v>13</v>
      </c>
      <c r="D10" s="2" t="s">
        <v>11</v>
      </c>
      <c r="E10" s="2" t="s">
        <v>12</v>
      </c>
    </row>
    <row r="11" spans="1:5" s="2" customFormat="1" x14ac:dyDescent="0.2">
      <c r="A11" s="2" t="s">
        <v>26</v>
      </c>
      <c r="B11" s="2">
        <v>31</v>
      </c>
      <c r="C11" s="2" t="s">
        <v>14</v>
      </c>
      <c r="D11" s="2" t="s">
        <v>11</v>
      </c>
      <c r="E11" s="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BAEE-D376-AB4B-90BC-A3F1AD4B25C8}">
  <dimension ref="B1"/>
  <sheetViews>
    <sheetView tabSelected="1" zoomScale="150" workbookViewId="0">
      <selection activeCell="E20" sqref="E20"/>
    </sheetView>
  </sheetViews>
  <sheetFormatPr baseColWidth="10" defaultRowHeight="16" x14ac:dyDescent="0.2"/>
  <cols>
    <col min="2" max="2" width="26" style="6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E0EF-1A8C-F845-A124-A8F29873857B}">
  <dimension ref="A1"/>
  <sheetViews>
    <sheetView workbookViewId="0"/>
  </sheetViews>
  <sheetFormatPr baseColWidth="10" defaultRowHeight="16" x14ac:dyDescent="0.2"/>
  <sheetData>
    <row r="1" spans="1:1" x14ac:dyDescent="0.2">
      <c r="A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BF metadata_incl D4 </vt:lpstr>
      <vt:lpstr>Information </vt:lpstr>
      <vt:lpstr>1</vt:lpstr>
      <vt:lpstr>2</vt:lpstr>
      <vt:lpstr>3</vt:lpstr>
      <vt:lpstr>4</vt:lpstr>
      <vt:lpstr>5</vt:lpstr>
      <vt:lpstr>6</vt:lpstr>
      <vt:lpstr>Clinical variables to check</vt:lpstr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Salminen Frisendahl</dc:creator>
  <cp:lastModifiedBy>Tim Huang</cp:lastModifiedBy>
  <dcterms:created xsi:type="dcterms:W3CDTF">2026-03-19T09:08:34Z</dcterms:created>
  <dcterms:modified xsi:type="dcterms:W3CDTF">2026-10-25T23:33:37Z</dcterms:modified>
</cp:coreProperties>
</file>